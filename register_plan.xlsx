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gramming\test\"/>
    </mc:Choice>
  </mc:AlternateContent>
  <xr:revisionPtr revIDLastSave="0" documentId="8_{EAAA2AE3-09AF-4897-A562-6650BB8410AE}" xr6:coauthVersionLast="46" xr6:coauthVersionMax="46" xr10:uidLastSave="{00000000-0000-0000-0000-000000000000}"/>
  <bookViews>
    <workbookView xWindow="-120" yWindow="-120" windowWidth="29040" windowHeight="15840" xr2:uid="{75D1E214-46C3-4EBD-A143-577ADF704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D4" i="1"/>
  <c r="D2" i="1"/>
  <c r="D3" i="1"/>
  <c r="D5" i="1"/>
  <c r="D8" i="1"/>
  <c r="D7" i="1"/>
  <c r="D9" i="1"/>
  <c r="H3" i="1"/>
  <c r="H4" i="1"/>
  <c r="H5" i="1"/>
  <c r="H6" i="1"/>
  <c r="H7" i="1"/>
  <c r="H8" i="1"/>
  <c r="G9" i="1"/>
  <c r="F9" i="1"/>
  <c r="C9" i="1"/>
  <c r="H2" i="1"/>
  <c r="E8" i="1"/>
  <c r="E7" i="1"/>
  <c r="E5" i="1"/>
  <c r="E4" i="1"/>
  <c r="E3" i="1"/>
  <c r="E2" i="1"/>
  <c r="E9" i="1" s="1"/>
  <c r="H9" i="1" l="1"/>
  <c r="J2" i="1" s="1"/>
  <c r="J7" i="1"/>
  <c r="J6" i="1"/>
  <c r="J8" i="1"/>
  <c r="J5" i="1"/>
  <c r="J4" i="1"/>
  <c r="J3" i="1"/>
</calcChain>
</file>

<file path=xl/sharedStrings.xml><?xml version="1.0" encoding="utf-8"?>
<sst xmlns="http://schemas.openxmlformats.org/spreadsheetml/2006/main" count="27" uniqueCount="25">
  <si>
    <t>과목명</t>
    <phoneticPr fontId="1" type="noConversion"/>
  </si>
  <si>
    <t>교수명</t>
    <phoneticPr fontId="1" type="noConversion"/>
  </si>
  <si>
    <t>TO</t>
    <phoneticPr fontId="1" type="noConversion"/>
  </si>
  <si>
    <t>책가방인원</t>
    <phoneticPr fontId="1" type="noConversion"/>
  </si>
  <si>
    <t>경쟁률</t>
    <phoneticPr fontId="1" type="noConversion"/>
  </si>
  <si>
    <t>순위</t>
    <phoneticPr fontId="1" type="noConversion"/>
  </si>
  <si>
    <t>학점</t>
    <phoneticPr fontId="1" type="noConversion"/>
  </si>
  <si>
    <t>고체역학설계실습</t>
    <phoneticPr fontId="1" type="noConversion"/>
  </si>
  <si>
    <t>자료구조개론</t>
    <phoneticPr fontId="1" type="noConversion"/>
  </si>
  <si>
    <t>최현기</t>
    <phoneticPr fontId="1" type="noConversion"/>
  </si>
  <si>
    <t>이준원</t>
    <phoneticPr fontId="1" type="noConversion"/>
  </si>
  <si>
    <t>CSE</t>
    <phoneticPr fontId="1" type="noConversion"/>
  </si>
  <si>
    <t>ME</t>
    <phoneticPr fontId="1" type="noConversion"/>
  </si>
  <si>
    <t>논리회로</t>
    <phoneticPr fontId="1" type="noConversion"/>
  </si>
  <si>
    <t>이칠기</t>
    <phoneticPr fontId="1" type="noConversion"/>
  </si>
  <si>
    <t>공학수치해석</t>
    <phoneticPr fontId="1" type="noConversion"/>
  </si>
  <si>
    <t>시스템프로그램</t>
    <phoneticPr fontId="1" type="noConversion"/>
  </si>
  <si>
    <t>우홍욱</t>
    <phoneticPr fontId="1" type="noConversion"/>
  </si>
  <si>
    <t>제어공학기초</t>
    <phoneticPr fontId="1" type="noConversion"/>
  </si>
  <si>
    <t>국태용</t>
    <phoneticPr fontId="1" type="noConversion"/>
  </si>
  <si>
    <t>유체역학</t>
    <phoneticPr fontId="1" type="noConversion"/>
  </si>
  <si>
    <t>이창구</t>
    <phoneticPr fontId="1" type="noConversion"/>
  </si>
  <si>
    <t>-</t>
    <phoneticPr fontId="1" type="noConversion"/>
  </si>
  <si>
    <t>원래순서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</si>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</sst>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2EBC1-2AF5-4563-B03E-27CA800D0C87}" name="표2" displayName="표2" ref="A1:J8" totalsRowShown="0">
  <autoFilter ref="A1:J8" xr:uid="{DC4CD497-9CAC-4DBD-9C6D-DAB735A98A82}"/>
  <sortState xmlns:xlrd2="http://schemas.microsoft.com/office/spreadsheetml/2017/richdata2" ref="A2:J8">
    <sortCondition ref="I1:I8"/>
  </sortState>
  <tableColumns count="10">
    <tableColumn id="1" xr3:uid="{E4F208D8-F851-40AB-93EA-7B77201B7B64}" name="과목명"/>
    <tableColumn id="2" xr3:uid="{554EED70-31AC-4E8E-8BBB-8DBF2283E8EA}" name="교수명"/>
    <tableColumn id="3" xr3:uid="{E12A54E0-D0EE-45E6-BAC9-65A73A3DF0C5}" name="학점"/>
    <tableColumn id="4" xr3:uid="{D948AC97-44D9-4F07-848D-2650FABDDF5A}" name="ME"/>
    <tableColumn id="5" xr3:uid="{63C35E5E-D8A4-43D0-A7D8-E178051ED864}" name="CSE"/>
    <tableColumn id="6" xr3:uid="{65B3F41C-E0C6-4C66-AF6F-3586CD544BDC}" name="책가방인원"/>
    <tableColumn id="7" xr3:uid="{97C15231-8B92-467C-AD8D-28C5D791F3FA}" name="TO"/>
    <tableColumn id="8" xr3:uid="{05BE12A4-E2C0-4CBA-A4E3-B130005BA8BA}" name="경쟁률">
      <calculatedColumnFormula>ROUND(F2/G2, 2)</calculatedColumnFormula>
    </tableColumn>
    <tableColumn id="10" xr3:uid="{3AD0A0E8-C760-4EAF-A1C9-1CDC9985D611}" name="원래순서"/>
    <tableColumn id="9" xr3:uid="{3CA72B01-8A47-4129-9962-799376E95863}" name="순위">
      <calculatedColumnFormula>RANK(H2, $H$2:$H$8)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D2C7-665B-432C-AD25-11D629B45399}">
  <dimension ref="A1:J9"/>
  <sheetViews>
    <sheetView tabSelected="1" workbookViewId="0">
      <selection activeCell="I12" sqref="I12"/>
    </sheetView>
  </sheetViews>
  <sheetFormatPr defaultRowHeight="16.5" x14ac:dyDescent="0.3"/>
  <cols>
    <col min="1" max="1" width="17.25" bestFit="1" customWidth="1"/>
    <col min="2" max="2" width="9.375" bestFit="1" customWidth="1"/>
    <col min="3" max="3" width="7.5" bestFit="1" customWidth="1"/>
    <col min="4" max="4" width="6.5" bestFit="1" customWidth="1"/>
    <col min="5" max="5" width="7" bestFit="1" customWidth="1"/>
    <col min="6" max="6" width="13.25" bestFit="1" customWidth="1"/>
    <col min="7" max="7" width="6.375" bestFit="1" customWidth="1"/>
    <col min="8" max="8" width="9.375" bestFit="1" customWidth="1"/>
    <col min="9" max="9" width="9.375" customWidth="1"/>
    <col min="10" max="10" width="7.5" bestFit="1" customWidth="1"/>
  </cols>
  <sheetData>
    <row r="1" spans="1:10" x14ac:dyDescent="0.3">
      <c r="A1" t="s">
        <v>0</v>
      </c>
      <c r="B1" t="s">
        <v>1</v>
      </c>
      <c r="C1" t="s">
        <v>6</v>
      </c>
      <c r="D1" t="s">
        <v>12</v>
      </c>
      <c r="E1" t="s">
        <v>11</v>
      </c>
      <c r="F1" t="s">
        <v>3</v>
      </c>
      <c r="G1" t="s">
        <v>2</v>
      </c>
      <c r="H1" t="s">
        <v>4</v>
      </c>
      <c r="I1" t="s">
        <v>23</v>
      </c>
      <c r="J1" t="s">
        <v>5</v>
      </c>
    </row>
    <row r="2" spans="1:10" x14ac:dyDescent="0.3">
      <c r="A2" t="s">
        <v>7</v>
      </c>
      <c r="B2" t="s">
        <v>9</v>
      </c>
      <c r="C2">
        <v>3</v>
      </c>
      <c r="D2" t="b">
        <f>TRUE</f>
        <v>1</v>
      </c>
      <c r="E2" t="b">
        <f>FALSE</f>
        <v>0</v>
      </c>
      <c r="F2">
        <v>86</v>
      </c>
      <c r="G2">
        <v>27</v>
      </c>
      <c r="H2">
        <f>ROUND(F2/G2, 2)</f>
        <v>3.19</v>
      </c>
      <c r="I2">
        <v>1</v>
      </c>
      <c r="J2">
        <f>RANK(H2, $H$2:$H$8)</f>
        <v>1</v>
      </c>
    </row>
    <row r="3" spans="1:10" x14ac:dyDescent="0.3">
      <c r="A3" t="s">
        <v>8</v>
      </c>
      <c r="B3" t="s">
        <v>10</v>
      </c>
      <c r="C3">
        <v>3</v>
      </c>
      <c r="D3" t="b">
        <f>TRUE</f>
        <v>1</v>
      </c>
      <c r="E3" t="b">
        <f>TRUE</f>
        <v>1</v>
      </c>
      <c r="F3">
        <v>41</v>
      </c>
      <c r="G3">
        <v>20</v>
      </c>
      <c r="H3">
        <f>ROUND(F3/G3, 2)</f>
        <v>2.0499999999999998</v>
      </c>
      <c r="I3">
        <v>2</v>
      </c>
      <c r="J3">
        <f>RANK(H3, $H$2:$H$8)</f>
        <v>3</v>
      </c>
    </row>
    <row r="4" spans="1:10" x14ac:dyDescent="0.3">
      <c r="A4" t="s">
        <v>13</v>
      </c>
      <c r="B4" t="s">
        <v>14</v>
      </c>
      <c r="C4">
        <v>3</v>
      </c>
      <c r="D4" t="b">
        <f>FALSE</f>
        <v>0</v>
      </c>
      <c r="E4" t="b">
        <f>TRUE</f>
        <v>1</v>
      </c>
      <c r="F4">
        <v>20</v>
      </c>
      <c r="G4">
        <v>9</v>
      </c>
      <c r="H4">
        <f>ROUND(F4/G4, 2)</f>
        <v>2.2200000000000002</v>
      </c>
      <c r="I4">
        <v>3</v>
      </c>
      <c r="J4">
        <f>RANK(H4, $H$2:$H$8)</f>
        <v>2</v>
      </c>
    </row>
    <row r="5" spans="1:10" x14ac:dyDescent="0.3">
      <c r="A5" t="s">
        <v>15</v>
      </c>
      <c r="B5" t="s">
        <v>24</v>
      </c>
      <c r="C5">
        <v>3</v>
      </c>
      <c r="D5" t="b">
        <f>TRUE</f>
        <v>1</v>
      </c>
      <c r="E5" t="b">
        <f>FALSE</f>
        <v>0</v>
      </c>
      <c r="F5">
        <v>50</v>
      </c>
      <c r="G5">
        <v>42</v>
      </c>
      <c r="H5">
        <f>ROUND(F5/G5, 2)</f>
        <v>1.19</v>
      </c>
      <c r="I5">
        <v>4</v>
      </c>
      <c r="J5">
        <f>RANK(H5, $H$2:$H$8)</f>
        <v>4</v>
      </c>
    </row>
    <row r="6" spans="1:10" x14ac:dyDescent="0.3">
      <c r="A6" t="s">
        <v>16</v>
      </c>
      <c r="B6" t="s">
        <v>17</v>
      </c>
      <c r="C6">
        <v>3</v>
      </c>
      <c r="D6" t="b">
        <v>1</v>
      </c>
      <c r="E6" t="b">
        <f>TRUE</f>
        <v>1</v>
      </c>
      <c r="F6">
        <v>78</v>
      </c>
      <c r="G6">
        <v>83</v>
      </c>
      <c r="H6">
        <f>ROUND(F6/G6, 2)</f>
        <v>0.94</v>
      </c>
      <c r="I6">
        <v>5</v>
      </c>
      <c r="J6">
        <f>RANK(H6, $H$2:$H$8)</f>
        <v>5</v>
      </c>
    </row>
    <row r="7" spans="1:10" x14ac:dyDescent="0.3">
      <c r="A7" t="s">
        <v>18</v>
      </c>
      <c r="B7" t="s">
        <v>19</v>
      </c>
      <c r="C7">
        <v>3</v>
      </c>
      <c r="D7" t="b">
        <f>FALSE</f>
        <v>0</v>
      </c>
      <c r="E7" t="b">
        <f>TRUE</f>
        <v>1</v>
      </c>
      <c r="F7">
        <v>23</v>
      </c>
      <c r="G7">
        <v>45</v>
      </c>
      <c r="H7">
        <f>ROUND(F7/G7, 2)</f>
        <v>0.51</v>
      </c>
      <c r="I7">
        <v>6</v>
      </c>
      <c r="J7">
        <f>RANK(H7, $H$2:$H$8)</f>
        <v>7</v>
      </c>
    </row>
    <row r="8" spans="1:10" x14ac:dyDescent="0.3">
      <c r="A8" t="s">
        <v>20</v>
      </c>
      <c r="B8" t="s">
        <v>21</v>
      </c>
      <c r="C8">
        <v>3</v>
      </c>
      <c r="D8" t="b">
        <f>TRUE</f>
        <v>1</v>
      </c>
      <c r="E8" t="b">
        <f>FALSE</f>
        <v>0</v>
      </c>
      <c r="F8">
        <v>9</v>
      </c>
      <c r="G8">
        <v>14</v>
      </c>
      <c r="H8">
        <f>ROUND(F8/G8, 2)</f>
        <v>0.64</v>
      </c>
      <c r="I8">
        <v>7</v>
      </c>
      <c r="J8">
        <f>RANK(H8, $H$2:$H$8)</f>
        <v>6</v>
      </c>
    </row>
    <row r="9" spans="1:10" x14ac:dyDescent="0.3">
      <c r="A9" t="s">
        <v>22</v>
      </c>
      <c r="B9" t="s">
        <v>22</v>
      </c>
      <c r="C9">
        <f>SUM(C2:C8)</f>
        <v>21</v>
      </c>
      <c r="D9">
        <f>COUNTIF(D2:D8, TRUE)</f>
        <v>5</v>
      </c>
      <c r="E9">
        <f>COUNTIF(E2:E8, TRUE)</f>
        <v>4</v>
      </c>
      <c r="F9">
        <f>SUM(F2:F8)</f>
        <v>307</v>
      </c>
      <c r="G9">
        <f>SUM(G2:G8)</f>
        <v>240</v>
      </c>
      <c r="H9">
        <f>ROUND(F9/G9, 2)</f>
        <v>1.28</v>
      </c>
      <c r="J9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Kim</dc:creator>
  <cp:lastModifiedBy>Yosep Kim</cp:lastModifiedBy>
  <dcterms:created xsi:type="dcterms:W3CDTF">2021-02-07T02:13:53Z</dcterms:created>
  <dcterms:modified xsi:type="dcterms:W3CDTF">2021-02-07T12:52:40Z</dcterms:modified>
</cp:coreProperties>
</file>